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N:\python-code\LIME\mre_root\exp_full\_csv\apcfi\"/>
    </mc:Choice>
  </mc:AlternateContent>
  <xr:revisionPtr revIDLastSave="0" documentId="13_ncr:1_{D5DCE301-52E4-4FD7-8316-0FC8AC69AD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工作表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B2" i="2"/>
  <c r="B3" i="2"/>
  <c r="B4" i="2"/>
  <c r="B5" i="2"/>
  <c r="H1" i="2" s="1"/>
  <c r="B6" i="2"/>
  <c r="B7" i="2"/>
  <c r="B8" i="2"/>
  <c r="B9" i="2"/>
  <c r="B10" i="2"/>
  <c r="B11" i="2"/>
  <c r="G2" i="2"/>
  <c r="G3" i="2"/>
  <c r="G4" i="2"/>
  <c r="G5" i="2"/>
  <c r="G6" i="2"/>
  <c r="G7" i="2"/>
  <c r="G8" i="2"/>
  <c r="G9" i="2"/>
  <c r="G10" i="2"/>
  <c r="G11" i="2"/>
  <c r="D1" i="2"/>
  <c r="D2" i="2"/>
  <c r="D3" i="2"/>
  <c r="D4" i="2"/>
  <c r="D5" i="2"/>
  <c r="D6" i="2"/>
  <c r="D7" i="2"/>
  <c r="D8" i="2"/>
  <c r="D9" i="2"/>
  <c r="D10" i="2"/>
  <c r="D11" i="2"/>
  <c r="G2" i="1"/>
  <c r="G3" i="1"/>
  <c r="G4" i="1"/>
  <c r="G5" i="1"/>
  <c r="A2" i="2"/>
  <c r="C2" i="2"/>
  <c r="E2" i="2"/>
  <c r="A3" i="2"/>
  <c r="C3" i="2"/>
  <c r="E3" i="2"/>
  <c r="A4" i="2"/>
  <c r="C4" i="2"/>
  <c r="E4" i="2"/>
  <c r="A5" i="2"/>
  <c r="C5" i="2"/>
  <c r="E5" i="2"/>
  <c r="A6" i="2"/>
  <c r="C6" i="2"/>
  <c r="E6" i="2"/>
  <c r="A7" i="2"/>
  <c r="C7" i="2"/>
  <c r="E7" i="2"/>
  <c r="A8" i="2"/>
  <c r="C8" i="2"/>
  <c r="E8" i="2"/>
  <c r="A9" i="2"/>
  <c r="C9" i="2"/>
  <c r="E9" i="2"/>
  <c r="A10" i="2"/>
  <c r="C10" i="2"/>
  <c r="E10" i="2"/>
  <c r="A11" i="2"/>
  <c r="C11" i="2"/>
  <c r="E11" i="2"/>
  <c r="A1" i="2"/>
  <c r="C1" i="2"/>
  <c r="E1" i="2"/>
  <c r="H3" i="2" l="1"/>
  <c r="H11" i="2"/>
  <c r="H9" i="2"/>
  <c r="H7" i="2"/>
  <c r="H4" i="2"/>
  <c r="H2" i="2"/>
  <c r="H10" i="2"/>
  <c r="H8" i="2"/>
  <c r="H6" i="2"/>
  <c r="H5" i="2"/>
  <c r="J4" i="2"/>
  <c r="J2" i="2"/>
  <c r="I6" i="2"/>
  <c r="I10" i="2"/>
  <c r="J5" i="2"/>
  <c r="I9" i="2"/>
  <c r="J6" i="2"/>
  <c r="I1" i="2"/>
  <c r="G1" i="2"/>
  <c r="J9" i="2"/>
  <c r="J1" i="2"/>
  <c r="J10" i="2"/>
  <c r="I5" i="2"/>
  <c r="J8" i="2"/>
  <c r="J3" i="2"/>
  <c r="J7" i="2"/>
  <c r="J11" i="2"/>
  <c r="I8" i="2"/>
  <c r="I7" i="2"/>
  <c r="I4" i="2"/>
  <c r="I3" i="2"/>
  <c r="I11" i="2"/>
  <c r="I2" i="2"/>
  <c r="H5" i="1" l="1"/>
  <c r="I5" i="1"/>
  <c r="H2" i="1"/>
  <c r="I2" i="1"/>
  <c r="I3" i="1"/>
  <c r="H3" i="1"/>
  <c r="I4" i="1"/>
  <c r="H4" i="1"/>
</calcChain>
</file>

<file path=xl/sharedStrings.xml><?xml version="1.0" encoding="utf-8"?>
<sst xmlns="http://schemas.openxmlformats.org/spreadsheetml/2006/main" count="12" uniqueCount="12">
  <si>
    <t>Cora</t>
    <phoneticPr fontId="1" type="noConversion"/>
  </si>
  <si>
    <t>CiteSeer</t>
    <phoneticPr fontId="1" type="noConversion"/>
  </si>
  <si>
    <t>PubMed</t>
    <phoneticPr fontId="1" type="noConversion"/>
  </si>
  <si>
    <t>Photo</t>
    <phoneticPr fontId="1" type="noConversion"/>
  </si>
  <si>
    <t>Computers</t>
    <phoneticPr fontId="1" type="noConversion"/>
  </si>
  <si>
    <t>FP</t>
    <phoneticPr fontId="1" type="noConversion"/>
  </si>
  <si>
    <t>PCFI</t>
    <phoneticPr fontId="1" type="noConversion"/>
  </si>
  <si>
    <t>APCFI</t>
    <phoneticPr fontId="1" type="noConversion"/>
  </si>
  <si>
    <t>APCF*</t>
    <phoneticPr fontId="1" type="noConversion"/>
  </si>
  <si>
    <t>avg</t>
    <phoneticPr fontId="1" type="noConversion"/>
  </si>
  <si>
    <t>avg rank</t>
    <phoneticPr fontId="1" type="noConversion"/>
  </si>
  <si>
    <t>worst 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</si>
</sst>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145" zoomScaleNormal="145" workbookViewId="0">
      <selection activeCell="G8" sqref="G8"/>
    </sheetView>
  </sheetViews>
  <sheetFormatPr defaultRowHeight="14.5" x14ac:dyDescent="0.3"/>
  <cols>
    <col min="1" max="1" width="17.09765625" customWidth="1"/>
    <col min="8" max="8" width="9.3984375" bestFit="1" customWidth="1"/>
    <col min="11" max="11" width="9.39843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10</v>
      </c>
      <c r="I1" t="s">
        <v>11</v>
      </c>
    </row>
    <row r="2" spans="1:9" x14ac:dyDescent="0.3">
      <c r="A2" t="s">
        <v>5</v>
      </c>
      <c r="B2">
        <v>79.349999999999994</v>
      </c>
      <c r="C2">
        <v>67.45</v>
      </c>
      <c r="D2">
        <v>75.959999999999994</v>
      </c>
      <c r="E2">
        <v>89.29</v>
      </c>
      <c r="F2">
        <v>82.19</v>
      </c>
      <c r="G2">
        <f>IF(COUNT(C2:F2)&lt;COLUMNS(C2:F2), NA(), AVERAGE(C2:F2))</f>
        <v>78.722499999999997</v>
      </c>
      <c r="H2">
        <f xml:space="preserve"> AVERAGE(工作表1!G1:'工作表1'!K1)</f>
        <v>4</v>
      </c>
      <c r="I2">
        <f>MAX(工作表1!G1:K1)</f>
        <v>4</v>
      </c>
    </row>
    <row r="3" spans="1:9" x14ac:dyDescent="0.3">
      <c r="A3" t="s">
        <v>6</v>
      </c>
      <c r="B3">
        <v>79.47</v>
      </c>
      <c r="C3">
        <v>69.87</v>
      </c>
      <c r="D3">
        <v>76.599999999999994</v>
      </c>
      <c r="E3">
        <v>89.84</v>
      </c>
      <c r="F3">
        <v>83.01</v>
      </c>
      <c r="G3">
        <f>IF(COUNT(C3:F3)&lt;COLUMNS(C3:F3), NA(), AVERAGE(C3:F3))</f>
        <v>79.83</v>
      </c>
      <c r="H3">
        <f xml:space="preserve"> AVERAGE(工作表1!G2:'工作表1'!K2)</f>
        <v>1.625</v>
      </c>
      <c r="I3">
        <f>MAX(工作表1!G2:K2)</f>
        <v>2</v>
      </c>
    </row>
    <row r="4" spans="1:9" x14ac:dyDescent="0.3">
      <c r="A4" t="s">
        <v>7</v>
      </c>
      <c r="B4">
        <v>79.52</v>
      </c>
      <c r="C4">
        <v>69.680000000000007</v>
      </c>
      <c r="D4">
        <v>76.599999999999994</v>
      </c>
      <c r="E4">
        <v>89.23</v>
      </c>
      <c r="F4">
        <v>82.7</v>
      </c>
      <c r="G4">
        <f>IF(COUNT(C4:F4)&lt;COLUMNS(C4:F4), NA(), AVERAGE(C4:F4))</f>
        <v>79.552499999999995</v>
      </c>
      <c r="H4">
        <f xml:space="preserve"> AVERAGE(工作表1!G3:'工作表1'!K3)</f>
        <v>2.375</v>
      </c>
      <c r="I4">
        <f>MAX(工作表1!G3:K3)</f>
        <v>3</v>
      </c>
    </row>
    <row r="5" spans="1:9" x14ac:dyDescent="0.3">
      <c r="A5" t="s">
        <v>8</v>
      </c>
      <c r="B5">
        <v>79.48</v>
      </c>
      <c r="C5">
        <v>69.900000000000006</v>
      </c>
      <c r="D5">
        <v>76.56</v>
      </c>
      <c r="E5">
        <v>89.45</v>
      </c>
      <c r="F5">
        <v>82.4</v>
      </c>
      <c r="G5">
        <f>IF(COUNT(C5:F5)&lt;COLUMNS(C5:F5), NA(), AVERAGE(C5:F5))</f>
        <v>79.577500000000015</v>
      </c>
      <c r="H5">
        <f xml:space="preserve"> AVERAGE(工作表1!G4:'工作表1'!K4)</f>
        <v>2</v>
      </c>
      <c r="I5">
        <f>MAX(工作表1!G4:K4)</f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7B60-7C73-4806-B92C-D38DB89E5F4F}">
  <dimension ref="A1:J11"/>
  <sheetViews>
    <sheetView workbookViewId="0">
      <selection activeCell="J16" sqref="J16"/>
    </sheetView>
  </sheetViews>
  <sheetFormatPr defaultRowHeight="14.5" x14ac:dyDescent="0.3"/>
  <cols>
    <col min="7" max="7" width="10.19921875" bestFit="1" customWidth="1"/>
    <col min="9" max="9" width="10.19921875" bestFit="1" customWidth="1"/>
  </cols>
  <sheetData>
    <row r="1" spans="1:10" x14ac:dyDescent="0.3">
      <c r="A1">
        <f>IF(Sheet1!C2="OOM", -9999, Sheet1!C2)</f>
        <v>67.45</v>
      </c>
      <c r="B1">
        <f>IF(Sheet1!C2="OOM", -9999, Sheet1!C2)</f>
        <v>67.45</v>
      </c>
      <c r="C1">
        <f>IF(Sheet1!D2="OOM", -9999, Sheet1!D2)</f>
        <v>75.959999999999994</v>
      </c>
      <c r="D1">
        <f>IF(Sheet1!E2="OOM", -9999, Sheet1!E2)</f>
        <v>89.29</v>
      </c>
      <c r="E1">
        <f>IF(Sheet1!F2="OOM", -9999, Sheet1!F2)</f>
        <v>82.19</v>
      </c>
      <c r="G1">
        <f>_xlfn.RANK.AVG(A1, A$1:A$11, 0)</f>
        <v>4</v>
      </c>
      <c r="H1">
        <f>_xlfn.RANK.AVG(B1, B$1:B$11, 0)</f>
        <v>4</v>
      </c>
      <c r="I1">
        <f t="shared" ref="H1:J1" si="0">_xlfn.RANK.AVG(C1, C$1:C$11, 0)</f>
        <v>4</v>
      </c>
      <c r="J1">
        <f>_xlfn.RANK.AVG(E1, E$1:E$11, 0)</f>
        <v>4</v>
      </c>
    </row>
    <row r="2" spans="1:10" x14ac:dyDescent="0.3">
      <c r="A2">
        <f>IF(Sheet1!C3="OOM", -9999, Sheet1!C3)</f>
        <v>69.87</v>
      </c>
      <c r="B2">
        <f>IF(Sheet1!C3="OOM", -9999, Sheet1!C3)</f>
        <v>69.87</v>
      </c>
      <c r="C2">
        <f>IF(Sheet1!D3="OOM", -9999, Sheet1!D3)</f>
        <v>76.599999999999994</v>
      </c>
      <c r="D2">
        <f>IF(Sheet1!E3="OOM", -9999, Sheet1!E3)</f>
        <v>89.84</v>
      </c>
      <c r="E2">
        <f>IF(Sheet1!F3="OOM", -9999, Sheet1!F3)</f>
        <v>83.01</v>
      </c>
      <c r="G2">
        <f t="shared" ref="G2:H11" si="1">_xlfn.RANK.AVG(A2, A$1:A$11, 0)</f>
        <v>2</v>
      </c>
      <c r="H2">
        <f t="shared" si="1"/>
        <v>2</v>
      </c>
      <c r="I2">
        <f t="shared" ref="I2:I11" si="2">_xlfn.RANK.AVG(C2, C$1:C$11, 0)</f>
        <v>1.5</v>
      </c>
      <c r="J2">
        <f>_xlfn.RANK.AVG(E2, E$1:E$11, 0)</f>
        <v>1</v>
      </c>
    </row>
    <row r="3" spans="1:10" x14ac:dyDescent="0.3">
      <c r="A3">
        <f>IF(Sheet1!C4="OOM", -9999, Sheet1!C4)</f>
        <v>69.680000000000007</v>
      </c>
      <c r="B3">
        <f>IF(Sheet1!C4="OOM", -9999, Sheet1!C4)</f>
        <v>69.680000000000007</v>
      </c>
      <c r="C3">
        <f>IF(Sheet1!D4="OOM", -9999, Sheet1!D4)</f>
        <v>76.599999999999994</v>
      </c>
      <c r="D3">
        <f>IF(Sheet1!E4="OOM", -9999, Sheet1!E4)</f>
        <v>89.23</v>
      </c>
      <c r="E3">
        <f>IF(Sheet1!F4="OOM", -9999, Sheet1!F4)</f>
        <v>82.7</v>
      </c>
      <c r="G3">
        <f t="shared" si="1"/>
        <v>3</v>
      </c>
      <c r="H3">
        <f t="shared" si="1"/>
        <v>3</v>
      </c>
      <c r="I3">
        <f t="shared" si="2"/>
        <v>1.5</v>
      </c>
      <c r="J3">
        <f>_xlfn.RANK.AVG(E3, E$1:E$11, 0)</f>
        <v>2</v>
      </c>
    </row>
    <row r="4" spans="1:10" x14ac:dyDescent="0.3">
      <c r="A4">
        <f>IF(Sheet1!C5="OOM", -9999, Sheet1!C5)</f>
        <v>69.900000000000006</v>
      </c>
      <c r="B4">
        <f>IF(Sheet1!C5="OOM", -9999, Sheet1!C5)</f>
        <v>69.900000000000006</v>
      </c>
      <c r="C4">
        <f>IF(Sheet1!D5="OOM", -9999, Sheet1!D5)</f>
        <v>76.56</v>
      </c>
      <c r="D4">
        <f>IF(Sheet1!E5="OOM", -9999, Sheet1!E5)</f>
        <v>89.45</v>
      </c>
      <c r="E4">
        <f>IF(Sheet1!F5="OOM", -9999, Sheet1!F5)</f>
        <v>82.4</v>
      </c>
      <c r="G4">
        <f t="shared" si="1"/>
        <v>1</v>
      </c>
      <c r="H4">
        <f t="shared" si="1"/>
        <v>1</v>
      </c>
      <c r="I4">
        <f t="shared" si="2"/>
        <v>3</v>
      </c>
      <c r="J4">
        <f>_xlfn.RANK.AVG(E4, E$1:E$11, 0)</f>
        <v>3</v>
      </c>
    </row>
    <row r="5" spans="1:10" x14ac:dyDescent="0.3">
      <c r="A5">
        <f>IF(Sheet1!B6="OOM", -9999, Sheet1!B6)</f>
        <v>0</v>
      </c>
      <c r="B5">
        <f>IF(Sheet1!C6="OOM", -9999, Sheet1!C6)</f>
        <v>0</v>
      </c>
      <c r="C5">
        <f>IF(Sheet1!D6="OOM", -9999, Sheet1!D6)</f>
        <v>0</v>
      </c>
      <c r="D5">
        <f>IF(Sheet1!D6="OOM", -9999, Sheet1!D6)</f>
        <v>0</v>
      </c>
      <c r="E5">
        <f>IF(Sheet1!E6="OOM", -9999, Sheet1!E6)</f>
        <v>0</v>
      </c>
      <c r="G5">
        <f t="shared" si="1"/>
        <v>8</v>
      </c>
      <c r="H5">
        <f t="shared" si="1"/>
        <v>8</v>
      </c>
      <c r="I5">
        <f t="shared" si="2"/>
        <v>8</v>
      </c>
      <c r="J5">
        <f>_xlfn.RANK.AVG(E5, E$1:E$11, 0)</f>
        <v>8</v>
      </c>
    </row>
    <row r="6" spans="1:10" x14ac:dyDescent="0.3">
      <c r="A6">
        <f>IF(Sheet1!B7="OOM", -9999, Sheet1!B7)</f>
        <v>0</v>
      </c>
      <c r="B6">
        <f>IF(Sheet1!C7="OOM", -9999, Sheet1!C7)</f>
        <v>0</v>
      </c>
      <c r="C6">
        <f>IF(Sheet1!D7="OOM", -9999, Sheet1!D7)</f>
        <v>0</v>
      </c>
      <c r="D6">
        <f>IF(Sheet1!D7="OOM", -9999, Sheet1!D7)</f>
        <v>0</v>
      </c>
      <c r="E6">
        <f>IF(Sheet1!E7="OOM", -9999, Sheet1!E7)</f>
        <v>0</v>
      </c>
      <c r="G6">
        <f t="shared" si="1"/>
        <v>8</v>
      </c>
      <c r="H6">
        <f t="shared" si="1"/>
        <v>8</v>
      </c>
      <c r="I6">
        <f t="shared" si="2"/>
        <v>8</v>
      </c>
      <c r="J6">
        <f>_xlfn.RANK.AVG(E6, E$1:E$11, 0)</f>
        <v>8</v>
      </c>
    </row>
    <row r="7" spans="1:10" x14ac:dyDescent="0.3">
      <c r="A7">
        <f>IF(Sheet1!B8="OOM", -9999, Sheet1!B8)</f>
        <v>0</v>
      </c>
      <c r="B7">
        <f>IF(Sheet1!C8="OOM", -9999, Sheet1!C8)</f>
        <v>0</v>
      </c>
      <c r="C7">
        <f>IF(Sheet1!D8="OOM", -9999, Sheet1!D8)</f>
        <v>0</v>
      </c>
      <c r="D7">
        <f>IF(Sheet1!D8="OOM", -9999, Sheet1!D8)</f>
        <v>0</v>
      </c>
      <c r="E7">
        <f>IF(Sheet1!E8="OOM", -9999, Sheet1!E8)</f>
        <v>0</v>
      </c>
      <c r="G7">
        <f t="shared" si="1"/>
        <v>8</v>
      </c>
      <c r="H7">
        <f t="shared" si="1"/>
        <v>8</v>
      </c>
      <c r="I7">
        <f t="shared" si="2"/>
        <v>8</v>
      </c>
      <c r="J7">
        <f>_xlfn.RANK.AVG(E7, E$1:E$11, 0)</f>
        <v>8</v>
      </c>
    </row>
    <row r="8" spans="1:10" x14ac:dyDescent="0.3">
      <c r="A8">
        <f>IF(Sheet1!B9="OOM", -9999, Sheet1!B9)</f>
        <v>0</v>
      </c>
      <c r="B8">
        <f>IF(Sheet1!C9="OOM", -9999, Sheet1!C9)</f>
        <v>0</v>
      </c>
      <c r="C8">
        <f>IF(Sheet1!D9="OOM", -9999, Sheet1!D9)</f>
        <v>0</v>
      </c>
      <c r="D8">
        <f>IF(Sheet1!D9="OOM", -9999, Sheet1!D9)</f>
        <v>0</v>
      </c>
      <c r="E8">
        <f>IF(Sheet1!E9="OOM", -9999, Sheet1!E9)</f>
        <v>0</v>
      </c>
      <c r="G8">
        <f t="shared" si="1"/>
        <v>8</v>
      </c>
      <c r="H8">
        <f t="shared" si="1"/>
        <v>8</v>
      </c>
      <c r="I8">
        <f t="shared" si="2"/>
        <v>8</v>
      </c>
      <c r="J8">
        <f>_xlfn.RANK.AVG(E8, E$1:E$11, 0)</f>
        <v>8</v>
      </c>
    </row>
    <row r="9" spans="1:10" x14ac:dyDescent="0.3">
      <c r="A9">
        <f>IF(Sheet1!B10="OOM", -9999, Sheet1!B10)</f>
        <v>0</v>
      </c>
      <c r="B9">
        <f>IF(Sheet1!C10="OOM", -9999, Sheet1!C10)</f>
        <v>0</v>
      </c>
      <c r="C9">
        <f>IF(Sheet1!D10="OOM", -9999, Sheet1!D10)</f>
        <v>0</v>
      </c>
      <c r="D9">
        <f>IF(Sheet1!D10="OOM", -9999, Sheet1!D10)</f>
        <v>0</v>
      </c>
      <c r="E9">
        <f>IF(Sheet1!E10="OOM", -9999, Sheet1!E10)</f>
        <v>0</v>
      </c>
      <c r="G9">
        <f t="shared" si="1"/>
        <v>8</v>
      </c>
      <c r="H9">
        <f t="shared" si="1"/>
        <v>8</v>
      </c>
      <c r="I9">
        <f t="shared" si="2"/>
        <v>8</v>
      </c>
      <c r="J9">
        <f>_xlfn.RANK.AVG(E9, E$1:E$11, 0)</f>
        <v>8</v>
      </c>
    </row>
    <row r="10" spans="1:10" x14ac:dyDescent="0.3">
      <c r="A10">
        <f>IF(Sheet1!B11="OOM", -9999, Sheet1!B11)</f>
        <v>0</v>
      </c>
      <c r="B10">
        <f>IF(Sheet1!C11="OOM", -9999, Sheet1!C11)</f>
        <v>0</v>
      </c>
      <c r="C10">
        <f>IF(Sheet1!D11="OOM", -9999, Sheet1!D11)</f>
        <v>0</v>
      </c>
      <c r="D10">
        <f>IF(Sheet1!D11="OOM", -9999, Sheet1!D11)</f>
        <v>0</v>
      </c>
      <c r="E10">
        <f>IF(Sheet1!E11="OOM", -9999, Sheet1!E11)</f>
        <v>0</v>
      </c>
      <c r="G10">
        <f t="shared" si="1"/>
        <v>8</v>
      </c>
      <c r="H10">
        <f t="shared" si="1"/>
        <v>8</v>
      </c>
      <c r="I10">
        <f t="shared" si="2"/>
        <v>8</v>
      </c>
      <c r="J10">
        <f>_xlfn.RANK.AVG(E10, E$1:E$11, 0)</f>
        <v>8</v>
      </c>
    </row>
    <row r="11" spans="1:10" x14ac:dyDescent="0.3">
      <c r="A11">
        <f>IF(Sheet1!B12="OOM", -9999, Sheet1!B12)</f>
        <v>0</v>
      </c>
      <c r="B11">
        <f>IF(Sheet1!C12="OOM", -9999, Sheet1!C12)</f>
        <v>0</v>
      </c>
      <c r="C11">
        <f>IF(Sheet1!D12="OOM", -9999, Sheet1!D12)</f>
        <v>0</v>
      </c>
      <c r="D11">
        <f>IF(Sheet1!D12="OOM", -9999, Sheet1!D12)</f>
        <v>0</v>
      </c>
      <c r="E11">
        <f>IF(Sheet1!E12="OOM", -9999, Sheet1!E12)</f>
        <v>0</v>
      </c>
      <c r="G11">
        <f t="shared" si="1"/>
        <v>8</v>
      </c>
      <c r="H11">
        <f t="shared" si="1"/>
        <v>8</v>
      </c>
      <c r="I11">
        <f t="shared" si="2"/>
        <v>8</v>
      </c>
      <c r="J11">
        <f>_xlfn.RANK.AVG(E11, E$1:E$11, 0)</f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李旻昊 LI MAN HO</cp:lastModifiedBy>
  <dcterms:created xsi:type="dcterms:W3CDTF">2015-06-05T18:19:34Z</dcterms:created>
  <dcterms:modified xsi:type="dcterms:W3CDTF">2025-06-18T08:34:06Z</dcterms:modified>
</cp:coreProperties>
</file>