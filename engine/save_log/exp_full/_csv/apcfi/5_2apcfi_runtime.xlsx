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N:\python-code\LIME\mre_root\exp_full\_csv\"/>
    </mc:Choice>
  </mc:AlternateContent>
  <xr:revisionPtr revIDLastSave="0" documentId="13_ncr:1_{7B945B39-7EB0-46B2-A356-D5D590CE76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工作表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2" i="1"/>
  <c r="A2" i="2"/>
  <c r="B2" i="2"/>
  <c r="C2" i="2"/>
  <c r="D2" i="2"/>
  <c r="E2" i="2"/>
  <c r="K2" i="2" s="1"/>
  <c r="A3" i="2"/>
  <c r="G3" i="2" s="1"/>
  <c r="B3" i="2"/>
  <c r="H3" i="2" s="1"/>
  <c r="C3" i="2"/>
  <c r="I3" i="2" s="1"/>
  <c r="D3" i="2"/>
  <c r="J3" i="2" s="1"/>
  <c r="E3" i="2"/>
  <c r="K3" i="2" s="1"/>
  <c r="A4" i="2"/>
  <c r="G4" i="2" s="1"/>
  <c r="H5" i="1" s="1"/>
  <c r="B4" i="2"/>
  <c r="H4" i="2" s="1"/>
  <c r="C4" i="2"/>
  <c r="I4" i="2" s="1"/>
  <c r="D4" i="2"/>
  <c r="J4" i="2" s="1"/>
  <c r="E4" i="2"/>
  <c r="K4" i="2" s="1"/>
  <c r="B1" i="2"/>
  <c r="C1" i="2"/>
  <c r="D1" i="2"/>
  <c r="E1" i="2"/>
  <c r="A1" i="2"/>
  <c r="G2" i="2"/>
  <c r="H2" i="2"/>
  <c r="I2" i="2"/>
  <c r="J2" i="2"/>
  <c r="J1" i="2"/>
  <c r="G2" i="1"/>
  <c r="G3" i="1"/>
  <c r="G4" i="1"/>
  <c r="G5" i="1"/>
  <c r="H1" i="2" l="1"/>
  <c r="I1" i="2"/>
  <c r="K1" i="2"/>
  <c r="G1" i="2"/>
  <c r="H3" i="1" l="1"/>
  <c r="H2" i="1"/>
  <c r="H4" i="1"/>
</calcChain>
</file>

<file path=xl/sharedStrings.xml><?xml version="1.0" encoding="utf-8"?>
<sst xmlns="http://schemas.openxmlformats.org/spreadsheetml/2006/main" count="12" uniqueCount="12">
  <si>
    <t>Cora</t>
    <phoneticPr fontId="1" type="noConversion"/>
  </si>
  <si>
    <t>CiteSeer</t>
    <phoneticPr fontId="1" type="noConversion"/>
  </si>
  <si>
    <t>PubMed</t>
    <phoneticPr fontId="1" type="noConversion"/>
  </si>
  <si>
    <t>Photo</t>
    <phoneticPr fontId="1" type="noConversion"/>
  </si>
  <si>
    <t>Computers</t>
    <phoneticPr fontId="1" type="noConversion"/>
  </si>
  <si>
    <t>FP</t>
    <phoneticPr fontId="1" type="noConversion"/>
  </si>
  <si>
    <t>PCFI</t>
    <phoneticPr fontId="1" type="noConversion"/>
  </si>
  <si>
    <t>APCFI</t>
    <phoneticPr fontId="1" type="noConversion"/>
  </si>
  <si>
    <t>APCF*</t>
    <phoneticPr fontId="1" type="noConversion"/>
  </si>
  <si>
    <t>avg</t>
    <phoneticPr fontId="1" type="noConversion"/>
  </si>
  <si>
    <t>avg rank</t>
    <phoneticPr fontId="1" type="noConversion"/>
  </si>
  <si>
    <t>worst rank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</si>
</sst>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I9" sqref="I9"/>
    </sheetView>
  </sheetViews>
  <sheetFormatPr defaultRowHeight="14.5" x14ac:dyDescent="0.3"/>
  <cols>
    <col min="1" max="1" width="17.09765625" customWidth="1"/>
    <col min="8" max="8" width="9.3984375" bestFit="1" customWidth="1"/>
    <col min="11" max="11" width="9.398437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t="s">
        <v>10</v>
      </c>
      <c r="I1" t="s">
        <v>11</v>
      </c>
    </row>
    <row r="2" spans="1:9" x14ac:dyDescent="0.3">
      <c r="A2" t="s">
        <v>5</v>
      </c>
      <c r="B2">
        <v>4.7E-2</v>
      </c>
      <c r="C2">
        <v>5.8999999999999997E-2</v>
      </c>
      <c r="D2">
        <v>6.3100000000000003E-2</v>
      </c>
      <c r="E2">
        <v>5.7299999999999997E-2</v>
      </c>
      <c r="F2">
        <v>8.4500000000000006E-2</v>
      </c>
      <c r="G2">
        <f>IF(COUNT(B2:F2)&lt;COLUMNS(B2:F2), NA(), AVERAGE(B2:F2))</f>
        <v>6.2179999999999999E-2</v>
      </c>
      <c r="H2">
        <f xml:space="preserve"> AVERAGE(工作表1!G1:'工作表1'!K1)</f>
        <v>1</v>
      </c>
      <c r="I2">
        <f>MIN(工作表1!G1:K1)</f>
        <v>1</v>
      </c>
    </row>
    <row r="3" spans="1:9" x14ac:dyDescent="0.3">
      <c r="A3" t="s">
        <v>6</v>
      </c>
      <c r="B3">
        <v>73.400999999999996</v>
      </c>
      <c r="C3">
        <v>252.82499999999999</v>
      </c>
      <c r="D3">
        <v>31.183</v>
      </c>
      <c r="E3">
        <v>32.451999999999998</v>
      </c>
      <c r="F3">
        <v>39.987000000000002</v>
      </c>
      <c r="G3">
        <f>IF(COUNT(B3:F3)&lt;COLUMNS(B3:F3), NA(), AVERAGE(B3:F3))</f>
        <v>85.9696</v>
      </c>
      <c r="H3">
        <f xml:space="preserve"> AVERAGE(工作表1!G2:'工作表1'!K2)</f>
        <v>4</v>
      </c>
      <c r="I3">
        <f>MIN(工作表1!G2:K2)</f>
        <v>4</v>
      </c>
    </row>
    <row r="4" spans="1:9" x14ac:dyDescent="0.3">
      <c r="A4" t="s">
        <v>7</v>
      </c>
      <c r="B4">
        <v>0.16400000000000001</v>
      </c>
      <c r="C4">
        <v>0.35199999999999998</v>
      </c>
      <c r="D4">
        <v>0.2</v>
      </c>
      <c r="E4">
        <v>0.47099999999999997</v>
      </c>
      <c r="F4">
        <v>0.67600000000000005</v>
      </c>
      <c r="G4">
        <f>IF(COUNT(B4:F4)&lt;COLUMNS(B4:F4), NA(), AVERAGE(B4:F4))</f>
        <v>0.37259999999999999</v>
      </c>
      <c r="H4">
        <f xml:space="preserve"> AVERAGE(工作表1!G3:'工作表1'!K3)</f>
        <v>2.4</v>
      </c>
      <c r="I4">
        <f>MIN(工作表1!G3:K3)</f>
        <v>2</v>
      </c>
    </row>
    <row r="5" spans="1:9" x14ac:dyDescent="0.3">
      <c r="A5" t="s">
        <v>8</v>
      </c>
      <c r="B5">
        <v>0.191</v>
      </c>
      <c r="C5">
        <v>0.39200000000000002</v>
      </c>
      <c r="D5">
        <v>0.19400000000000001</v>
      </c>
      <c r="E5">
        <v>0.46300000000000002</v>
      </c>
      <c r="F5">
        <v>0.72399999999999998</v>
      </c>
      <c r="G5">
        <f>IF(COUNT(B5:F5)&lt;COLUMNS(B5:F5), NA(), AVERAGE(B5:F5))</f>
        <v>0.39279999999999998</v>
      </c>
      <c r="H5">
        <f xml:space="preserve"> AVERAGE(工作表1!G4:'工作表1'!K4)</f>
        <v>2.6</v>
      </c>
      <c r="I5">
        <f>MIN(工作表1!G4:K4)</f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7B60-7C73-4806-B92C-D38DB89E5F4F}">
  <dimension ref="A1:K4"/>
  <sheetViews>
    <sheetView workbookViewId="0">
      <selection activeCell="F9" sqref="F9"/>
    </sheetView>
  </sheetViews>
  <sheetFormatPr defaultRowHeight="14.5" x14ac:dyDescent="0.3"/>
  <cols>
    <col min="7" max="7" width="10.19921875" bestFit="1" customWidth="1"/>
    <col min="9" max="9" width="10.19921875" bestFit="1" customWidth="1"/>
  </cols>
  <sheetData>
    <row r="1" spans="1:11" x14ac:dyDescent="0.3">
      <c r="A1">
        <f>IF(Sheet1!B2="OOM", -9999, Sheet1!B2)</f>
        <v>4.7E-2</v>
      </c>
      <c r="B1">
        <f>IF(Sheet1!C2="OOM", -9999, Sheet1!C2)</f>
        <v>5.8999999999999997E-2</v>
      </c>
      <c r="C1">
        <f>IF(Sheet1!D2="OOM", -9999, Sheet1!D2)</f>
        <v>6.3100000000000003E-2</v>
      </c>
      <c r="D1">
        <f>IF(Sheet1!E2="OOM", -9999, Sheet1!E2)</f>
        <v>5.7299999999999997E-2</v>
      </c>
      <c r="E1">
        <f>IF(Sheet1!F2="OOM", -9999, Sheet1!F2)</f>
        <v>8.4500000000000006E-2</v>
      </c>
      <c r="G1">
        <f>_xlfn.RANK.AVG(A1, A$1:A$11, 1)</f>
        <v>1</v>
      </c>
      <c r="H1">
        <f t="shared" ref="H1:K1" si="0">_xlfn.RANK.AVG(B1, B$1:B$11, 1)</f>
        <v>1</v>
      </c>
      <c r="I1">
        <f t="shared" si="0"/>
        <v>1</v>
      </c>
      <c r="J1">
        <f>_xlfn.RANK.AVG(D1, D$1:D$11, 1)</f>
        <v>1</v>
      </c>
      <c r="K1">
        <f t="shared" si="0"/>
        <v>1</v>
      </c>
    </row>
    <row r="2" spans="1:11" x14ac:dyDescent="0.3">
      <c r="A2">
        <f>IF(Sheet1!B3="OOM", -9999, Sheet1!B3)</f>
        <v>73.400999999999996</v>
      </c>
      <c r="B2">
        <f>IF(Sheet1!C3="OOM", -9999, Sheet1!C3)</f>
        <v>252.82499999999999</v>
      </c>
      <c r="C2">
        <f>IF(Sheet1!D3="OOM", -9999, Sheet1!D3)</f>
        <v>31.183</v>
      </c>
      <c r="D2">
        <f>IF(Sheet1!E3="OOM", -9999, Sheet1!E3)</f>
        <v>32.451999999999998</v>
      </c>
      <c r="E2">
        <f>IF(Sheet1!F3="OOM", -9999, Sheet1!F3)</f>
        <v>39.987000000000002</v>
      </c>
      <c r="G2">
        <f t="shared" ref="G2:G4" si="1">_xlfn.RANK.AVG(A2, A$1:A$11, 1)</f>
        <v>4</v>
      </c>
      <c r="H2">
        <f t="shared" ref="H2:H4" si="2">_xlfn.RANK.AVG(B2, B$1:B$11, 1)</f>
        <v>4</v>
      </c>
      <c r="I2">
        <f t="shared" ref="I2:I4" si="3">_xlfn.RANK.AVG(C2, C$1:C$11, 1)</f>
        <v>4</v>
      </c>
      <c r="J2">
        <f t="shared" ref="J2:J4" si="4">_xlfn.RANK.AVG(D2, D$1:D$11, 1)</f>
        <v>4</v>
      </c>
      <c r="K2">
        <f t="shared" ref="K2:K4" si="5">_xlfn.RANK.AVG(E2, E$1:E$11, 1)</f>
        <v>4</v>
      </c>
    </row>
    <row r="3" spans="1:11" x14ac:dyDescent="0.3">
      <c r="A3">
        <f>IF(Sheet1!B4="OOM", -9999, Sheet1!B4)</f>
        <v>0.16400000000000001</v>
      </c>
      <c r="B3">
        <f>IF(Sheet1!C4="OOM", -9999, Sheet1!C4)</f>
        <v>0.35199999999999998</v>
      </c>
      <c r="C3">
        <f>IF(Sheet1!D4="OOM", -9999, Sheet1!D4)</f>
        <v>0.2</v>
      </c>
      <c r="D3">
        <f>IF(Sheet1!E4="OOM", -9999, Sheet1!E4)</f>
        <v>0.47099999999999997</v>
      </c>
      <c r="E3">
        <f>IF(Sheet1!F4="OOM", -9999, Sheet1!F4)</f>
        <v>0.67600000000000005</v>
      </c>
      <c r="G3">
        <f t="shared" si="1"/>
        <v>2</v>
      </c>
      <c r="H3">
        <f t="shared" si="2"/>
        <v>2</v>
      </c>
      <c r="I3">
        <f t="shared" si="3"/>
        <v>3</v>
      </c>
      <c r="J3">
        <f t="shared" si="4"/>
        <v>3</v>
      </c>
      <c r="K3">
        <f t="shared" si="5"/>
        <v>2</v>
      </c>
    </row>
    <row r="4" spans="1:11" x14ac:dyDescent="0.3">
      <c r="A4">
        <f>IF(Sheet1!B5="OOM", -9999, Sheet1!B5)</f>
        <v>0.191</v>
      </c>
      <c r="B4">
        <f>IF(Sheet1!C5="OOM", -9999, Sheet1!C5)</f>
        <v>0.39200000000000002</v>
      </c>
      <c r="C4">
        <f>IF(Sheet1!D5="OOM", -9999, Sheet1!D5)</f>
        <v>0.19400000000000001</v>
      </c>
      <c r="D4">
        <f>IF(Sheet1!E5="OOM", -9999, Sheet1!E5)</f>
        <v>0.46300000000000002</v>
      </c>
      <c r="E4">
        <f>IF(Sheet1!F5="OOM", -9999, Sheet1!F5)</f>
        <v>0.72399999999999998</v>
      </c>
      <c r="G4">
        <f t="shared" si="1"/>
        <v>3</v>
      </c>
      <c r="H4">
        <f t="shared" si="2"/>
        <v>3</v>
      </c>
      <c r="I4">
        <f t="shared" si="3"/>
        <v>2</v>
      </c>
      <c r="J4">
        <f t="shared" si="4"/>
        <v>2</v>
      </c>
      <c r="K4">
        <f t="shared" si="5"/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李旻昊 LI MAN HO</cp:lastModifiedBy>
  <dcterms:created xsi:type="dcterms:W3CDTF">2015-06-05T18:19:34Z</dcterms:created>
  <dcterms:modified xsi:type="dcterms:W3CDTF">2025-06-17T17:20:56Z</dcterms:modified>
</cp:coreProperties>
</file>