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python-code\LIME\mre_root\exp_full\_csv\"/>
    </mc:Choice>
  </mc:AlternateContent>
  <xr:revisionPtr revIDLastSave="0" documentId="13_ncr:1_{B4987228-44D9-4B36-8810-3AF96AAABF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工作表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2" i="1"/>
  <c r="G5" i="1"/>
  <c r="G6" i="1"/>
  <c r="G7" i="1"/>
  <c r="G8" i="1"/>
  <c r="G9" i="1"/>
  <c r="G10" i="1"/>
  <c r="G11" i="1"/>
  <c r="G12" i="1"/>
  <c r="F11" i="2" s="1"/>
  <c r="G2" i="1"/>
  <c r="G3" i="1"/>
  <c r="G4" i="1"/>
  <c r="F3" i="2" s="1"/>
  <c r="F9" i="2"/>
  <c r="H3" i="1"/>
  <c r="H4" i="1"/>
  <c r="H5" i="1"/>
  <c r="H6" i="1"/>
  <c r="H7" i="1"/>
  <c r="H8" i="1"/>
  <c r="H9" i="1"/>
  <c r="H10" i="1"/>
  <c r="H11" i="1"/>
  <c r="H12" i="1"/>
  <c r="H2" i="1"/>
  <c r="G2" i="2"/>
  <c r="H2" i="2"/>
  <c r="I2" i="2"/>
  <c r="J2" i="2"/>
  <c r="K2" i="2"/>
  <c r="G3" i="2"/>
  <c r="H3" i="2"/>
  <c r="I3" i="2"/>
  <c r="J3" i="2"/>
  <c r="K3" i="2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H1" i="2"/>
  <c r="I1" i="2"/>
  <c r="J1" i="2"/>
  <c r="K1" i="2"/>
  <c r="G1" i="2"/>
  <c r="A2" i="2"/>
  <c r="B2" i="2"/>
  <c r="C2" i="2"/>
  <c r="D2" i="2"/>
  <c r="E2" i="2"/>
  <c r="F2" i="2"/>
  <c r="A3" i="2"/>
  <c r="B3" i="2"/>
  <c r="C3" i="2"/>
  <c r="D3" i="2"/>
  <c r="E3" i="2"/>
  <c r="A4" i="2"/>
  <c r="B4" i="2"/>
  <c r="C4" i="2"/>
  <c r="D4" i="2"/>
  <c r="E4" i="2"/>
  <c r="F4" i="2"/>
  <c r="A5" i="2"/>
  <c r="B5" i="2"/>
  <c r="C5" i="2"/>
  <c r="D5" i="2"/>
  <c r="E5" i="2"/>
  <c r="F5" i="2"/>
  <c r="A6" i="2"/>
  <c r="B6" i="2"/>
  <c r="C6" i="2"/>
  <c r="D6" i="2"/>
  <c r="E6" i="2"/>
  <c r="F6" i="2"/>
  <c r="A7" i="2"/>
  <c r="B7" i="2"/>
  <c r="C7" i="2"/>
  <c r="D7" i="2"/>
  <c r="E7" i="2"/>
  <c r="F7" i="2"/>
  <c r="A8" i="2"/>
  <c r="B8" i="2"/>
  <c r="C8" i="2"/>
  <c r="D8" i="2"/>
  <c r="E8" i="2"/>
  <c r="F8" i="2"/>
  <c r="A9" i="2"/>
  <c r="B9" i="2"/>
  <c r="C9" i="2"/>
  <c r="D9" i="2"/>
  <c r="E9" i="2"/>
  <c r="A10" i="2"/>
  <c r="B10" i="2"/>
  <c r="C10" i="2"/>
  <c r="D10" i="2"/>
  <c r="E10" i="2"/>
  <c r="F10" i="2"/>
  <c r="A11" i="2"/>
  <c r="B11" i="2"/>
  <c r="C11" i="2"/>
  <c r="D11" i="2"/>
  <c r="E11" i="2"/>
  <c r="A1" i="2"/>
  <c r="B1" i="2"/>
  <c r="C1" i="2"/>
  <c r="D1" i="2"/>
  <c r="E1" i="2"/>
  <c r="F1" i="2"/>
</calcChain>
</file>

<file path=xl/sharedStrings.xml><?xml version="1.0" encoding="utf-8"?>
<sst xmlns="http://schemas.openxmlformats.org/spreadsheetml/2006/main" count="20" uniqueCount="20">
  <si>
    <t>Cora</t>
    <phoneticPr fontId="1" type="noConversion"/>
  </si>
  <si>
    <t>CiteSeer</t>
    <phoneticPr fontId="1" type="noConversion"/>
  </si>
  <si>
    <t>PubMed</t>
    <phoneticPr fontId="1" type="noConversion"/>
  </si>
  <si>
    <t>Photo</t>
    <phoneticPr fontId="1" type="noConversion"/>
  </si>
  <si>
    <t>Computers</t>
    <phoneticPr fontId="1" type="noConversion"/>
  </si>
  <si>
    <t>Zero*</t>
    <phoneticPr fontId="1" type="noConversion"/>
  </si>
  <si>
    <t>LP*</t>
    <phoneticPr fontId="1" type="noConversion"/>
  </si>
  <si>
    <t>sRMGCNN*</t>
    <phoneticPr fontId="1" type="noConversion"/>
  </si>
  <si>
    <t>GCNMF*</t>
    <phoneticPr fontId="1" type="noConversion"/>
  </si>
  <si>
    <t>PaGNN*</t>
    <phoneticPr fontId="1" type="noConversion"/>
  </si>
  <si>
    <t>FP</t>
    <phoneticPr fontId="1" type="noConversion"/>
  </si>
  <si>
    <t>PCFI*</t>
    <phoneticPr fontId="1" type="noConversion"/>
  </si>
  <si>
    <t>FP*</t>
    <phoneticPr fontId="1" type="noConversion"/>
  </si>
  <si>
    <t>PCFI</t>
    <phoneticPr fontId="1" type="noConversion"/>
  </si>
  <si>
    <t>APCFI</t>
    <phoneticPr fontId="1" type="noConversion"/>
  </si>
  <si>
    <t>APCF*</t>
    <phoneticPr fontId="1" type="noConversion"/>
  </si>
  <si>
    <t>OOM</t>
    <phoneticPr fontId="1" type="noConversion"/>
  </si>
  <si>
    <t>avg</t>
    <phoneticPr fontId="1" type="noConversion"/>
  </si>
  <si>
    <t>avg rank</t>
    <phoneticPr fontId="1" type="noConversion"/>
  </si>
  <si>
    <t>worst 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</si>
</sst>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L14" sqref="L14"/>
    </sheetView>
  </sheetViews>
  <sheetFormatPr defaultRowHeight="14.5" x14ac:dyDescent="0.3"/>
  <cols>
    <col min="1" max="1" width="17.09765625" customWidth="1"/>
    <col min="8" max="8" width="9.3984375" bestFit="1" customWidth="1"/>
    <col min="11" max="11" width="9.3984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</v>
      </c>
      <c r="H1" t="s">
        <v>18</v>
      </c>
      <c r="I1" t="s">
        <v>19</v>
      </c>
    </row>
    <row r="2" spans="1:9" x14ac:dyDescent="0.3">
      <c r="A2" t="s">
        <v>5</v>
      </c>
      <c r="B2">
        <v>44.15</v>
      </c>
      <c r="C2">
        <v>31.68</v>
      </c>
      <c r="D2">
        <v>48.2</v>
      </c>
      <c r="E2">
        <v>79.680000000000007</v>
      </c>
      <c r="F2">
        <v>72.03</v>
      </c>
      <c r="G2">
        <f t="shared" ref="G2:G12" si="0">IF(COUNT(B2:F2)&lt;COLUMNS(B2:F2), NA(), AVERAGE(B2:F2))</f>
        <v>55.148000000000003</v>
      </c>
      <c r="H2">
        <f xml:space="preserve"> AVERAGE(工作表1!G1:'工作表1'!K1)</f>
        <v>8.1999999999999993</v>
      </c>
      <c r="I2">
        <f>MAX(工作表1!G1:K1)</f>
        <v>9</v>
      </c>
    </row>
    <row r="3" spans="1:9" x14ac:dyDescent="0.3">
      <c r="A3" t="s">
        <v>6</v>
      </c>
      <c r="B3">
        <v>74.52</v>
      </c>
      <c r="C3">
        <v>65.89</v>
      </c>
      <c r="D3">
        <v>72.25</v>
      </c>
      <c r="E3">
        <v>82.42</v>
      </c>
      <c r="F3">
        <v>76.28</v>
      </c>
      <c r="G3">
        <f t="shared" si="0"/>
        <v>74.272000000000006</v>
      </c>
      <c r="H3">
        <f xml:space="preserve"> AVERAGE(工作表1!G2:'工作表1'!K2)</f>
        <v>5</v>
      </c>
      <c r="I3">
        <f>MAX(工作表1!G2:K2)</f>
        <v>7</v>
      </c>
    </row>
    <row r="4" spans="1:9" x14ac:dyDescent="0.3">
      <c r="A4" t="s">
        <v>7</v>
      </c>
      <c r="B4">
        <v>29.31</v>
      </c>
      <c r="C4">
        <v>24.21</v>
      </c>
      <c r="D4" t="s">
        <v>16</v>
      </c>
      <c r="E4">
        <v>26.1</v>
      </c>
      <c r="F4">
        <v>37.15</v>
      </c>
      <c r="G4" t="e">
        <f>IF(COUNT(B4:F4)&lt;COLUMNS(B4:F4), NA(), AVERAGE(B4:F4))</f>
        <v>#N/A</v>
      </c>
      <c r="H4">
        <f xml:space="preserve"> AVERAGE(工作表1!G3:'工作表1'!K3)</f>
        <v>10.6</v>
      </c>
      <c r="I4">
        <f>MAX(工作表1!G3:K3)</f>
        <v>11</v>
      </c>
    </row>
    <row r="5" spans="1:9" x14ac:dyDescent="0.3">
      <c r="A5" t="s">
        <v>8</v>
      </c>
      <c r="B5">
        <v>29.2</v>
      </c>
      <c r="C5">
        <v>24.5</v>
      </c>
      <c r="D5">
        <v>40.19</v>
      </c>
      <c r="E5">
        <v>26.82</v>
      </c>
      <c r="F5">
        <v>30.59</v>
      </c>
      <c r="G5">
        <f t="shared" si="0"/>
        <v>30.26</v>
      </c>
      <c r="H5">
        <f xml:space="preserve"> AVERAGE(工作表1!G4:'工作表1'!K4)</f>
        <v>10.4</v>
      </c>
      <c r="I5">
        <f>MAX(工作表1!G4:K4)</f>
        <v>11</v>
      </c>
    </row>
    <row r="6" spans="1:9" x14ac:dyDescent="0.3">
      <c r="A6" t="s">
        <v>9</v>
      </c>
      <c r="B6">
        <v>30.55</v>
      </c>
      <c r="C6">
        <v>25.69</v>
      </c>
      <c r="D6">
        <v>50.82</v>
      </c>
      <c r="E6">
        <v>66.91</v>
      </c>
      <c r="F6">
        <v>56.5</v>
      </c>
      <c r="G6">
        <f t="shared" si="0"/>
        <v>46.094000000000001</v>
      </c>
      <c r="H6">
        <f xml:space="preserve"> AVERAGE(工作表1!G5:'工作表1'!K5)</f>
        <v>8.8000000000000007</v>
      </c>
      <c r="I6">
        <f>MAX(工作表1!G5:K5)</f>
        <v>9</v>
      </c>
    </row>
    <row r="7" spans="1:9" x14ac:dyDescent="0.3">
      <c r="A7" t="s">
        <v>12</v>
      </c>
      <c r="B7">
        <v>72.84</v>
      </c>
      <c r="C7">
        <v>59.76</v>
      </c>
      <c r="D7">
        <v>72.69</v>
      </c>
      <c r="E7">
        <v>86.57</v>
      </c>
      <c r="F7">
        <v>77.42</v>
      </c>
      <c r="G7">
        <f t="shared" si="0"/>
        <v>73.856000000000009</v>
      </c>
      <c r="H7">
        <f xml:space="preserve"> AVERAGE(工作表1!G6:'工作表1'!K6)</f>
        <v>5.6</v>
      </c>
      <c r="I7">
        <f>MAX(工作表1!G6:K6)</f>
        <v>6</v>
      </c>
    </row>
    <row r="8" spans="1:9" x14ac:dyDescent="0.3">
      <c r="A8" t="s">
        <v>10</v>
      </c>
      <c r="B8">
        <v>72.69</v>
      </c>
      <c r="C8">
        <v>59.65</v>
      </c>
      <c r="D8">
        <v>72.67</v>
      </c>
      <c r="E8">
        <v>86.46</v>
      </c>
      <c r="F8">
        <v>77.58</v>
      </c>
      <c r="G8">
        <f t="shared" si="0"/>
        <v>73.809999999999988</v>
      </c>
      <c r="H8">
        <f xml:space="preserve"> AVERAGE(工作表1!G7:'工作表1'!K7)</f>
        <v>6.2</v>
      </c>
      <c r="I8">
        <f>MAX(工作表1!G7:K7)</f>
        <v>7</v>
      </c>
    </row>
    <row r="9" spans="1:9" x14ac:dyDescent="0.3">
      <c r="A9" t="s">
        <v>11</v>
      </c>
      <c r="B9">
        <v>75.489999999999995</v>
      </c>
      <c r="C9">
        <v>66.180000000000007</v>
      </c>
      <c r="D9">
        <v>74.66</v>
      </c>
      <c r="E9">
        <v>87.7</v>
      </c>
      <c r="F9">
        <v>79.25</v>
      </c>
      <c r="G9">
        <f t="shared" si="0"/>
        <v>76.656000000000006</v>
      </c>
      <c r="H9">
        <f xml:space="preserve"> AVERAGE(工作表1!G8:'工作表1'!K8)</f>
        <v>1</v>
      </c>
      <c r="I9">
        <f>MAX(工作表1!G8:K8)</f>
        <v>1</v>
      </c>
    </row>
    <row r="10" spans="1:9" x14ac:dyDescent="0.3">
      <c r="A10" t="s">
        <v>13</v>
      </c>
      <c r="B10">
        <v>73.42</v>
      </c>
      <c r="C10">
        <v>62.85</v>
      </c>
      <c r="D10">
        <v>73.44</v>
      </c>
      <c r="E10">
        <v>87.44</v>
      </c>
      <c r="F10">
        <v>78.760000000000005</v>
      </c>
      <c r="G10">
        <f t="shared" si="0"/>
        <v>75.181999999999988</v>
      </c>
      <c r="H10">
        <f xml:space="preserve"> AVERAGE(工作表1!G9:'工作表1'!K9)</f>
        <v>2.7</v>
      </c>
      <c r="I10">
        <f>MAX(工作表1!G9:K9)</f>
        <v>4.5</v>
      </c>
    </row>
    <row r="11" spans="1:9" x14ac:dyDescent="0.3">
      <c r="A11" t="s">
        <v>14</v>
      </c>
      <c r="B11">
        <v>73.42</v>
      </c>
      <c r="C11">
        <v>62.29</v>
      </c>
      <c r="D11">
        <v>73.38</v>
      </c>
      <c r="E11">
        <v>87.02</v>
      </c>
      <c r="F11">
        <v>77.959999999999994</v>
      </c>
      <c r="G11">
        <f t="shared" si="0"/>
        <v>74.813999999999993</v>
      </c>
      <c r="H11">
        <f xml:space="preserve"> AVERAGE(工作表1!G10:'工作表1'!K10)</f>
        <v>3.9</v>
      </c>
      <c r="I11">
        <f>MAX(工作表1!G10:K10)</f>
        <v>4.5</v>
      </c>
    </row>
    <row r="12" spans="1:9" x14ac:dyDescent="0.3">
      <c r="A12" t="s">
        <v>15</v>
      </c>
      <c r="B12">
        <v>73.44</v>
      </c>
      <c r="C12">
        <v>62.02</v>
      </c>
      <c r="D12">
        <v>73.39</v>
      </c>
      <c r="E12">
        <v>87.24</v>
      </c>
      <c r="F12">
        <v>77.77</v>
      </c>
      <c r="G12">
        <f t="shared" si="0"/>
        <v>74.772000000000006</v>
      </c>
      <c r="H12">
        <f xml:space="preserve"> AVERAGE(工作表1!G11:'工作表1'!K11)</f>
        <v>3.6</v>
      </c>
      <c r="I12">
        <f>MAX(工作表1!G11:K11)</f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B60-7C73-4806-B92C-D38DB89E5F4F}">
  <dimension ref="A1:K11"/>
  <sheetViews>
    <sheetView workbookViewId="0">
      <selection activeCell="C20" sqref="C20"/>
    </sheetView>
  </sheetViews>
  <sheetFormatPr defaultRowHeight="14.5" x14ac:dyDescent="0.3"/>
  <cols>
    <col min="7" max="7" width="10.19921875" bestFit="1" customWidth="1"/>
    <col min="9" max="9" width="10.19921875" bestFit="1" customWidth="1"/>
  </cols>
  <sheetData>
    <row r="1" spans="1:11" x14ac:dyDescent="0.3">
      <c r="A1">
        <f>IF(Sheet1!B2="OOM", -9999, Sheet1!B2)</f>
        <v>44.15</v>
      </c>
      <c r="B1">
        <f>IF(Sheet1!C2="OOM", -9999, Sheet1!C2)</f>
        <v>31.68</v>
      </c>
      <c r="C1">
        <f>IF(Sheet1!D2="OOM", -9999, Sheet1!D2)</f>
        <v>48.2</v>
      </c>
      <c r="D1">
        <f>IF(Sheet1!E2="OOM", -9999, Sheet1!E2)</f>
        <v>79.680000000000007</v>
      </c>
      <c r="E1">
        <f>IF(Sheet1!F2="OOM", -9999, Sheet1!F2)</f>
        <v>72.03</v>
      </c>
      <c r="F1">
        <f>IF(Sheet1!G2="OOM", -9999, Sheet1!G2)</f>
        <v>55.148000000000003</v>
      </c>
      <c r="G1">
        <f>_xlfn.RANK.AVG(A1, A$1:A$11, 0)</f>
        <v>8</v>
      </c>
      <c r="H1">
        <f t="shared" ref="H1:K1" si="0">_xlfn.RANK.AVG(B1, B$1:B$11, 0)</f>
        <v>8</v>
      </c>
      <c r="I1">
        <f t="shared" si="0"/>
        <v>9</v>
      </c>
      <c r="J1">
        <f t="shared" si="0"/>
        <v>8</v>
      </c>
      <c r="K1">
        <f t="shared" si="0"/>
        <v>8</v>
      </c>
    </row>
    <row r="2" spans="1:11" x14ac:dyDescent="0.3">
      <c r="A2">
        <f>IF(Sheet1!B3="OOM", -9999, Sheet1!B3)</f>
        <v>74.52</v>
      </c>
      <c r="B2">
        <f>IF(Sheet1!C3="OOM", -9999, Sheet1!C3)</f>
        <v>65.89</v>
      </c>
      <c r="C2">
        <f>IF(Sheet1!D3="OOM", -9999, Sheet1!D3)</f>
        <v>72.25</v>
      </c>
      <c r="D2">
        <f>IF(Sheet1!E3="OOM", -9999, Sheet1!E3)</f>
        <v>82.42</v>
      </c>
      <c r="E2">
        <f>IF(Sheet1!F3="OOM", -9999, Sheet1!F3)</f>
        <v>76.28</v>
      </c>
      <c r="F2">
        <f>IF(Sheet1!G3="OOM", -9999, Sheet1!G3)</f>
        <v>74.272000000000006</v>
      </c>
      <c r="G2">
        <f t="shared" ref="G2:G11" si="1">_xlfn.RANK.AVG(A2, A$1:A$11, 0)</f>
        <v>2</v>
      </c>
      <c r="H2">
        <f t="shared" ref="H2:H11" si="2">_xlfn.RANK.AVG(B2, B$1:B$11, 0)</f>
        <v>2</v>
      </c>
      <c r="I2">
        <f t="shared" ref="I2:I11" si="3">_xlfn.RANK.AVG(C2, C$1:C$11, 0)</f>
        <v>7</v>
      </c>
      <c r="J2">
        <f t="shared" ref="J2:J11" si="4">_xlfn.RANK.AVG(D2, D$1:D$11, 0)</f>
        <v>7</v>
      </c>
      <c r="K2">
        <f t="shared" ref="K2:K11" si="5">_xlfn.RANK.AVG(E2, E$1:E$11, 0)</f>
        <v>7</v>
      </c>
    </row>
    <row r="3" spans="1:11" x14ac:dyDescent="0.3">
      <c r="A3">
        <f>IF(Sheet1!B4="OOM", -9999, Sheet1!B4)</f>
        <v>29.31</v>
      </c>
      <c r="B3">
        <f>IF(Sheet1!C4="OOM", -9999, Sheet1!C4)</f>
        <v>24.21</v>
      </c>
      <c r="C3">
        <f>IF(Sheet1!D4="OOM", -9999, Sheet1!D4)</f>
        <v>-9999</v>
      </c>
      <c r="D3">
        <f>IF(Sheet1!E4="OOM", -9999, Sheet1!E4)</f>
        <v>26.1</v>
      </c>
      <c r="E3">
        <f>IF(Sheet1!F4="OOM", -9999, Sheet1!F4)</f>
        <v>37.15</v>
      </c>
      <c r="F3" t="e">
        <f>IF(Sheet1!G4="OOM", -9999, Sheet1!G4)</f>
        <v>#N/A</v>
      </c>
      <c r="G3">
        <f t="shared" si="1"/>
        <v>10</v>
      </c>
      <c r="H3">
        <f t="shared" si="2"/>
        <v>11</v>
      </c>
      <c r="I3">
        <f t="shared" si="3"/>
        <v>11</v>
      </c>
      <c r="J3">
        <f t="shared" si="4"/>
        <v>11</v>
      </c>
      <c r="K3">
        <f t="shared" si="5"/>
        <v>10</v>
      </c>
    </row>
    <row r="4" spans="1:11" x14ac:dyDescent="0.3">
      <c r="A4">
        <f>IF(Sheet1!B5="OOM", -9999, Sheet1!B5)</f>
        <v>29.2</v>
      </c>
      <c r="B4">
        <f>IF(Sheet1!C5="OOM", -9999, Sheet1!C5)</f>
        <v>24.5</v>
      </c>
      <c r="C4">
        <f>IF(Sheet1!D5="OOM", -9999, Sheet1!D5)</f>
        <v>40.19</v>
      </c>
      <c r="D4">
        <f>IF(Sheet1!E5="OOM", -9999, Sheet1!E5)</f>
        <v>26.82</v>
      </c>
      <c r="E4">
        <f>IF(Sheet1!F5="OOM", -9999, Sheet1!F5)</f>
        <v>30.59</v>
      </c>
      <c r="F4">
        <f>IF(Sheet1!G5="OOM", -9999, Sheet1!G5)</f>
        <v>30.26</v>
      </c>
      <c r="G4">
        <f t="shared" si="1"/>
        <v>11</v>
      </c>
      <c r="H4">
        <f t="shared" si="2"/>
        <v>10</v>
      </c>
      <c r="I4">
        <f t="shared" si="3"/>
        <v>10</v>
      </c>
      <c r="J4">
        <f t="shared" si="4"/>
        <v>10</v>
      </c>
      <c r="K4">
        <f t="shared" si="5"/>
        <v>11</v>
      </c>
    </row>
    <row r="5" spans="1:11" x14ac:dyDescent="0.3">
      <c r="A5">
        <f>IF(Sheet1!B6="OOM", -9999, Sheet1!B6)</f>
        <v>30.55</v>
      </c>
      <c r="B5">
        <f>IF(Sheet1!C6="OOM", -9999, Sheet1!C6)</f>
        <v>25.69</v>
      </c>
      <c r="C5">
        <f>IF(Sheet1!D6="OOM", -9999, Sheet1!D6)</f>
        <v>50.82</v>
      </c>
      <c r="D5">
        <f>IF(Sheet1!E6="OOM", -9999, Sheet1!E6)</f>
        <v>66.91</v>
      </c>
      <c r="E5">
        <f>IF(Sheet1!F6="OOM", -9999, Sheet1!F6)</f>
        <v>56.5</v>
      </c>
      <c r="F5">
        <f>IF(Sheet1!G6="OOM", -9999, Sheet1!G6)</f>
        <v>46.094000000000001</v>
      </c>
      <c r="G5">
        <f t="shared" si="1"/>
        <v>9</v>
      </c>
      <c r="H5">
        <f t="shared" si="2"/>
        <v>9</v>
      </c>
      <c r="I5">
        <f t="shared" si="3"/>
        <v>8</v>
      </c>
      <c r="J5">
        <f t="shared" si="4"/>
        <v>9</v>
      </c>
      <c r="K5">
        <f t="shared" si="5"/>
        <v>9</v>
      </c>
    </row>
    <row r="6" spans="1:11" x14ac:dyDescent="0.3">
      <c r="A6">
        <f>IF(Sheet1!B7="OOM", -9999, Sheet1!B7)</f>
        <v>72.84</v>
      </c>
      <c r="B6">
        <f>IF(Sheet1!C7="OOM", -9999, Sheet1!C7)</f>
        <v>59.76</v>
      </c>
      <c r="C6">
        <f>IF(Sheet1!D7="OOM", -9999, Sheet1!D7)</f>
        <v>72.69</v>
      </c>
      <c r="D6">
        <f>IF(Sheet1!E7="OOM", -9999, Sheet1!E7)</f>
        <v>86.57</v>
      </c>
      <c r="E6">
        <f>IF(Sheet1!F7="OOM", -9999, Sheet1!F7)</f>
        <v>77.42</v>
      </c>
      <c r="F6">
        <f>IF(Sheet1!G7="OOM", -9999, Sheet1!G7)</f>
        <v>73.856000000000009</v>
      </c>
      <c r="G6">
        <f t="shared" si="1"/>
        <v>6</v>
      </c>
      <c r="H6">
        <f t="shared" si="2"/>
        <v>6</v>
      </c>
      <c r="I6">
        <f t="shared" si="3"/>
        <v>5</v>
      </c>
      <c r="J6">
        <f t="shared" si="4"/>
        <v>5</v>
      </c>
      <c r="K6">
        <f t="shared" si="5"/>
        <v>6</v>
      </c>
    </row>
    <row r="7" spans="1:11" x14ac:dyDescent="0.3">
      <c r="A7">
        <f>IF(Sheet1!B8="OOM", -9999, Sheet1!B8)</f>
        <v>72.69</v>
      </c>
      <c r="B7">
        <f>IF(Sheet1!C8="OOM", -9999, Sheet1!C8)</f>
        <v>59.65</v>
      </c>
      <c r="C7">
        <f>IF(Sheet1!D8="OOM", -9999, Sheet1!D8)</f>
        <v>72.67</v>
      </c>
      <c r="D7">
        <f>IF(Sheet1!E8="OOM", -9999, Sheet1!E8)</f>
        <v>86.46</v>
      </c>
      <c r="E7">
        <f>IF(Sheet1!F8="OOM", -9999, Sheet1!F8)</f>
        <v>77.58</v>
      </c>
      <c r="F7">
        <f>IF(Sheet1!G8="OOM", -9999, Sheet1!G8)</f>
        <v>73.809999999999988</v>
      </c>
      <c r="G7">
        <f t="shared" si="1"/>
        <v>7</v>
      </c>
      <c r="H7">
        <f t="shared" si="2"/>
        <v>7</v>
      </c>
      <c r="I7">
        <f t="shared" si="3"/>
        <v>6</v>
      </c>
      <c r="J7">
        <f t="shared" si="4"/>
        <v>6</v>
      </c>
      <c r="K7">
        <f t="shared" si="5"/>
        <v>5</v>
      </c>
    </row>
    <row r="8" spans="1:11" x14ac:dyDescent="0.3">
      <c r="A8">
        <f>IF(Sheet1!B9="OOM", -9999, Sheet1!B9)</f>
        <v>75.489999999999995</v>
      </c>
      <c r="B8">
        <f>IF(Sheet1!C9="OOM", -9999, Sheet1!C9)</f>
        <v>66.180000000000007</v>
      </c>
      <c r="C8">
        <f>IF(Sheet1!D9="OOM", -9999, Sheet1!D9)</f>
        <v>74.66</v>
      </c>
      <c r="D8">
        <f>IF(Sheet1!E9="OOM", -9999, Sheet1!E9)</f>
        <v>87.7</v>
      </c>
      <c r="E8">
        <f>IF(Sheet1!F9="OOM", -9999, Sheet1!F9)</f>
        <v>79.25</v>
      </c>
      <c r="F8">
        <f>IF(Sheet1!G9="OOM", -9999, Sheet1!G9)</f>
        <v>76.656000000000006</v>
      </c>
      <c r="G8">
        <f t="shared" si="1"/>
        <v>1</v>
      </c>
      <c r="H8">
        <f t="shared" si="2"/>
        <v>1</v>
      </c>
      <c r="I8">
        <f t="shared" si="3"/>
        <v>1</v>
      </c>
      <c r="J8">
        <f t="shared" si="4"/>
        <v>1</v>
      </c>
      <c r="K8">
        <f t="shared" si="5"/>
        <v>1</v>
      </c>
    </row>
    <row r="9" spans="1:11" x14ac:dyDescent="0.3">
      <c r="A9">
        <f>IF(Sheet1!B10="OOM", -9999, Sheet1!B10)</f>
        <v>73.42</v>
      </c>
      <c r="B9">
        <f>IF(Sheet1!C10="OOM", -9999, Sheet1!C10)</f>
        <v>62.85</v>
      </c>
      <c r="C9">
        <f>IF(Sheet1!D10="OOM", -9999, Sheet1!D10)</f>
        <v>73.44</v>
      </c>
      <c r="D9">
        <f>IF(Sheet1!E10="OOM", -9999, Sheet1!E10)</f>
        <v>87.44</v>
      </c>
      <c r="E9">
        <f>IF(Sheet1!F10="OOM", -9999, Sheet1!F10)</f>
        <v>78.760000000000005</v>
      </c>
      <c r="F9">
        <f>IF(Sheet1!G10="OOM", -9999, Sheet1!G10)</f>
        <v>75.181999999999988</v>
      </c>
      <c r="G9">
        <f t="shared" si="1"/>
        <v>4.5</v>
      </c>
      <c r="H9">
        <f t="shared" si="2"/>
        <v>3</v>
      </c>
      <c r="I9">
        <f t="shared" si="3"/>
        <v>2</v>
      </c>
      <c r="J9">
        <f t="shared" si="4"/>
        <v>2</v>
      </c>
      <c r="K9">
        <f t="shared" si="5"/>
        <v>2</v>
      </c>
    </row>
    <row r="10" spans="1:11" x14ac:dyDescent="0.3">
      <c r="A10">
        <f>IF(Sheet1!B11="OOM", -9999, Sheet1!B11)</f>
        <v>73.42</v>
      </c>
      <c r="B10">
        <f>IF(Sheet1!C11="OOM", -9999, Sheet1!C11)</f>
        <v>62.29</v>
      </c>
      <c r="C10">
        <f>IF(Sheet1!D11="OOM", -9999, Sheet1!D11)</f>
        <v>73.38</v>
      </c>
      <c r="D10">
        <f>IF(Sheet1!E11="OOM", -9999, Sheet1!E11)</f>
        <v>87.02</v>
      </c>
      <c r="E10">
        <f>IF(Sheet1!F11="OOM", -9999, Sheet1!F11)</f>
        <v>77.959999999999994</v>
      </c>
      <c r="F10">
        <f>IF(Sheet1!G11="OOM", -9999, Sheet1!G11)</f>
        <v>74.813999999999993</v>
      </c>
      <c r="G10">
        <f t="shared" si="1"/>
        <v>4.5</v>
      </c>
      <c r="H10">
        <f t="shared" si="2"/>
        <v>4</v>
      </c>
      <c r="I10">
        <f t="shared" si="3"/>
        <v>4</v>
      </c>
      <c r="J10">
        <f t="shared" si="4"/>
        <v>4</v>
      </c>
      <c r="K10">
        <f t="shared" si="5"/>
        <v>3</v>
      </c>
    </row>
    <row r="11" spans="1:11" x14ac:dyDescent="0.3">
      <c r="A11">
        <f>IF(Sheet1!B12="OOM", -9999, Sheet1!B12)</f>
        <v>73.44</v>
      </c>
      <c r="B11">
        <f>IF(Sheet1!C12="OOM", -9999, Sheet1!C12)</f>
        <v>62.02</v>
      </c>
      <c r="C11">
        <f>IF(Sheet1!D12="OOM", -9999, Sheet1!D12)</f>
        <v>73.39</v>
      </c>
      <c r="D11">
        <f>IF(Sheet1!E12="OOM", -9999, Sheet1!E12)</f>
        <v>87.24</v>
      </c>
      <c r="E11">
        <f>IF(Sheet1!F12="OOM", -9999, Sheet1!F12)</f>
        <v>77.77</v>
      </c>
      <c r="F11">
        <f>IF(Sheet1!G12="OOM", -9999, Sheet1!G12)</f>
        <v>74.772000000000006</v>
      </c>
      <c r="G11">
        <f t="shared" si="1"/>
        <v>3</v>
      </c>
      <c r="H11">
        <f t="shared" si="2"/>
        <v>5</v>
      </c>
      <c r="I11">
        <f t="shared" si="3"/>
        <v>3</v>
      </c>
      <c r="J11">
        <f t="shared" si="4"/>
        <v>3</v>
      </c>
      <c r="K11">
        <f t="shared" si="5"/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李旻昊 LI MAN HO</cp:lastModifiedBy>
  <dcterms:created xsi:type="dcterms:W3CDTF">2015-06-05T18:19:34Z</dcterms:created>
  <dcterms:modified xsi:type="dcterms:W3CDTF">2025-06-17T17:12:06Z</dcterms:modified>
</cp:coreProperties>
</file>