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ython-code\LIME\mre_root\exp_full\_csv\sota\"/>
    </mc:Choice>
  </mc:AlternateContent>
  <xr:revisionPtr revIDLastSave="0" documentId="13_ncr:1_{10995E22-AAF7-432A-804B-356E3400C6AC}" xr6:coauthVersionLast="47" xr6:coauthVersionMax="47" xr10:uidLastSave="{00000000-0000-0000-0000-000000000000}"/>
  <bookViews>
    <workbookView xWindow="19090" yWindow="1060" windowWidth="17340" windowHeight="9130" xr2:uid="{05813A86-ADF9-4107-BDE9-2DB0FDC6EF0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1" l="1"/>
  <c r="J5" i="1"/>
  <c r="J3" i="1"/>
  <c r="J4" i="1"/>
  <c r="J6" i="1"/>
  <c r="J7" i="1"/>
  <c r="J8" i="1"/>
  <c r="J9" i="1"/>
  <c r="J10" i="1"/>
  <c r="K10" i="1" s="1"/>
  <c r="J11" i="1"/>
  <c r="K11" i="1" s="1"/>
  <c r="J12" i="1"/>
  <c r="K12" i="1" s="1"/>
  <c r="J13" i="1"/>
  <c r="K13" i="1" s="1"/>
  <c r="J14" i="1"/>
  <c r="K14" i="1" s="1"/>
  <c r="J15" i="1"/>
  <c r="K17" i="1" s="1"/>
  <c r="J16" i="1"/>
  <c r="K16" i="1" s="1"/>
  <c r="J17" i="1"/>
  <c r="J18" i="1"/>
  <c r="K18" i="1" s="1"/>
  <c r="J19" i="1"/>
  <c r="K19" i="1" s="1"/>
  <c r="J20" i="1"/>
  <c r="J2" i="1"/>
</calcChain>
</file>

<file path=xl/sharedStrings.xml><?xml version="1.0" encoding="utf-8"?>
<sst xmlns="http://schemas.openxmlformats.org/spreadsheetml/2006/main" count="29" uniqueCount="29">
  <si>
    <t>Model</t>
  </si>
  <si>
    <t>Cora</t>
  </si>
  <si>
    <t>CiteSeer</t>
  </si>
  <si>
    <t>PubMed</t>
  </si>
  <si>
    <t>Computer</t>
  </si>
  <si>
    <t>Photo</t>
  </si>
  <si>
    <t>CS</t>
  </si>
  <si>
    <t>Physics</t>
  </si>
  <si>
    <t>WikiCS</t>
  </si>
  <si>
    <t>GCN</t>
  </si>
  <si>
    <t>avg</t>
    <phoneticPr fontId="1" type="noConversion"/>
  </si>
  <si>
    <t>GraphGPS (NerurIPS 2022)</t>
    <phoneticPr fontId="1" type="noConversion"/>
  </si>
  <si>
    <t>NAGphormer (ICLR 2023)</t>
    <phoneticPr fontId="1" type="noConversion"/>
  </si>
  <si>
    <t>GOAT (ICML 2023)</t>
    <phoneticPr fontId="1" type="noConversion"/>
  </si>
  <si>
    <t>NodeFormer (NeurIPS 2022)</t>
    <phoneticPr fontId="1" type="noConversion"/>
  </si>
  <si>
    <t>SGFormer (NeurIPS 2023)</t>
    <phoneticPr fontId="1" type="noConversion"/>
  </si>
  <si>
    <t>Polymormer (ICLR 2024)</t>
    <phoneticPr fontId="1" type="noConversion"/>
  </si>
  <si>
    <t>GCN(Tuned)</t>
    <phoneticPr fontId="1" type="noConversion"/>
  </si>
  <si>
    <t>GraphSAGE</t>
    <phoneticPr fontId="1" type="noConversion"/>
  </si>
  <si>
    <t>GraphSAGE(Tuned)</t>
    <phoneticPr fontId="1" type="noConversion"/>
  </si>
  <si>
    <t>PRISM-SAGE(our)</t>
    <phoneticPr fontId="1" type="noConversion"/>
  </si>
  <si>
    <t>PRISM-GCN(our)</t>
    <phoneticPr fontId="1" type="noConversion"/>
  </si>
  <si>
    <t>MPP-GCN(Tuned)</t>
    <phoneticPr fontId="1" type="noConversion"/>
  </si>
  <si>
    <t>MPP-GCN(Tuned) w RKD</t>
    <phoneticPr fontId="1" type="noConversion"/>
  </si>
  <si>
    <t>MPP-GCN(Tuned) w RKD(mp-mlp)</t>
    <phoneticPr fontId="1" type="noConversion"/>
  </si>
  <si>
    <t>MPP-SAGE(Tuned)</t>
    <phoneticPr fontId="1" type="noConversion"/>
  </si>
  <si>
    <t>MPP-SAGE(Tuned) w RKD</t>
    <phoneticPr fontId="1" type="noConversion"/>
  </si>
  <si>
    <t>MPP-SAGE(Tuned) w RKD(mp-mlp)</t>
    <phoneticPr fontId="1" type="noConversion"/>
  </si>
  <si>
    <t>Exphormer (ICML2023)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</si>
</sst>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5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DEFE-9A9B-4233-95AB-E64DB0621EA3}">
  <dimension ref="A1:K20"/>
  <sheetViews>
    <sheetView tabSelected="1" topLeftCell="A6" zoomScaleNormal="100" workbookViewId="0">
      <selection activeCell="J5" sqref="J5"/>
    </sheetView>
  </sheetViews>
  <sheetFormatPr defaultRowHeight="17" x14ac:dyDescent="0.4"/>
  <cols>
    <col min="1" max="1" width="32.6328125" customWidth="1"/>
  </cols>
  <sheetData>
    <row r="1" spans="1:11" ht="17.5" thickBot="1" x14ac:dyDescent="0.4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7</v>
      </c>
      <c r="J1" s="4" t="s">
        <v>10</v>
      </c>
    </row>
    <row r="2" spans="1:11" x14ac:dyDescent="0.4">
      <c r="A2" s="5" t="s">
        <v>11</v>
      </c>
      <c r="B2">
        <v>82.84</v>
      </c>
      <c r="C2">
        <v>72.73</v>
      </c>
      <c r="D2">
        <v>79.94</v>
      </c>
      <c r="E2">
        <v>91.19</v>
      </c>
      <c r="F2">
        <v>95.06</v>
      </c>
      <c r="G2">
        <v>78.66</v>
      </c>
      <c r="H2">
        <v>93.93</v>
      </c>
      <c r="I2">
        <v>97.12</v>
      </c>
      <c r="J2" s="5">
        <f t="shared" ref="J2:J8" si="0">AVERAGE(B2:I2)</f>
        <v>86.433749999999989</v>
      </c>
    </row>
    <row r="3" spans="1:11" x14ac:dyDescent="0.4">
      <c r="A3" s="5" t="s">
        <v>12</v>
      </c>
      <c r="B3">
        <v>82.12</v>
      </c>
      <c r="C3">
        <v>71.47</v>
      </c>
      <c r="D3">
        <v>79.73</v>
      </c>
      <c r="E3">
        <v>91.22</v>
      </c>
      <c r="F3">
        <v>95.49</v>
      </c>
      <c r="G3">
        <v>77.16</v>
      </c>
      <c r="H3">
        <v>95.75</v>
      </c>
      <c r="I3">
        <v>97.34</v>
      </c>
      <c r="J3" s="5">
        <f t="shared" si="0"/>
        <v>86.284999999999997</v>
      </c>
    </row>
    <row r="4" spans="1:11" x14ac:dyDescent="0.4">
      <c r="A4" s="5" t="s">
        <v>28</v>
      </c>
      <c r="B4">
        <v>82.77</v>
      </c>
      <c r="C4">
        <v>71.63</v>
      </c>
      <c r="D4">
        <v>79.459999999999994</v>
      </c>
      <c r="E4">
        <v>91.47</v>
      </c>
      <c r="F4">
        <v>95.35</v>
      </c>
      <c r="G4">
        <v>78.540000000000006</v>
      </c>
      <c r="H4">
        <v>94.93</v>
      </c>
      <c r="I4">
        <v>96.89</v>
      </c>
      <c r="J4" s="5">
        <f t="shared" si="0"/>
        <v>86.38</v>
      </c>
    </row>
    <row r="5" spans="1:11" x14ac:dyDescent="0.4">
      <c r="A5" s="5" t="s">
        <v>13</v>
      </c>
      <c r="B5">
        <v>83.18</v>
      </c>
      <c r="C5">
        <v>71.989999999999995</v>
      </c>
      <c r="D5">
        <v>79.13</v>
      </c>
      <c r="E5">
        <v>90.96</v>
      </c>
      <c r="F5">
        <v>92.96</v>
      </c>
      <c r="G5">
        <v>77</v>
      </c>
      <c r="H5">
        <v>94.21</v>
      </c>
      <c r="I5">
        <v>96.24</v>
      </c>
      <c r="J5" s="5">
        <f t="shared" si="0"/>
        <v>85.708749999999995</v>
      </c>
    </row>
    <row r="6" spans="1:11" x14ac:dyDescent="0.4">
      <c r="A6" s="5" t="s">
        <v>14</v>
      </c>
      <c r="B6">
        <v>82.2</v>
      </c>
      <c r="C6">
        <v>72.5</v>
      </c>
      <c r="D6">
        <v>79.900000000000006</v>
      </c>
      <c r="E6">
        <v>86.98</v>
      </c>
      <c r="F6">
        <v>93.46</v>
      </c>
      <c r="G6">
        <v>74.73</v>
      </c>
      <c r="H6">
        <v>95.64</v>
      </c>
      <c r="I6">
        <v>96.45</v>
      </c>
      <c r="J6" s="5">
        <f t="shared" si="0"/>
        <v>85.232500000000002</v>
      </c>
    </row>
    <row r="7" spans="1:11" x14ac:dyDescent="0.4">
      <c r="A7" s="5" t="s">
        <v>15</v>
      </c>
      <c r="B7">
        <v>84.5</v>
      </c>
      <c r="C7">
        <v>72.599999999999994</v>
      </c>
      <c r="D7">
        <v>80.3</v>
      </c>
      <c r="E7">
        <v>91.99</v>
      </c>
      <c r="F7">
        <v>95.1</v>
      </c>
      <c r="G7">
        <v>73.459999999999994</v>
      </c>
      <c r="H7">
        <v>94.78</v>
      </c>
      <c r="I7">
        <v>96.6</v>
      </c>
      <c r="J7" s="5">
        <f t="shared" si="0"/>
        <v>86.166250000000005</v>
      </c>
    </row>
    <row r="8" spans="1:11" ht="17.5" thickBot="1" x14ac:dyDescent="0.45">
      <c r="A8" s="5" t="s">
        <v>16</v>
      </c>
      <c r="B8">
        <v>83.25</v>
      </c>
      <c r="C8">
        <v>72.31</v>
      </c>
      <c r="D8">
        <v>79.239999999999995</v>
      </c>
      <c r="E8">
        <v>93.68</v>
      </c>
      <c r="F8">
        <v>96.46</v>
      </c>
      <c r="G8">
        <v>80.099999999999994</v>
      </c>
      <c r="H8">
        <v>95.53</v>
      </c>
      <c r="I8">
        <v>97.27</v>
      </c>
      <c r="J8" s="5">
        <f t="shared" si="0"/>
        <v>87.22999999999999</v>
      </c>
    </row>
    <row r="9" spans="1:11" x14ac:dyDescent="0.4">
      <c r="A9" s="7" t="s">
        <v>9</v>
      </c>
      <c r="B9" s="1">
        <v>83.61</v>
      </c>
      <c r="C9" s="1">
        <v>71.72</v>
      </c>
      <c r="D9" s="1">
        <v>79.78</v>
      </c>
      <c r="E9" s="1">
        <v>71.709999999999994</v>
      </c>
      <c r="F9" s="1">
        <v>91.36</v>
      </c>
      <c r="G9" s="1">
        <v>79.069999999999993</v>
      </c>
      <c r="H9" s="1">
        <v>90.22</v>
      </c>
      <c r="I9" s="1">
        <v>95.86</v>
      </c>
      <c r="J9" s="7">
        <f t="shared" ref="J9:J20" si="1">AVERAGE(B9:I9)</f>
        <v>82.916250000000005</v>
      </c>
    </row>
    <row r="10" spans="1:11" x14ac:dyDescent="0.4">
      <c r="A10" s="5" t="s">
        <v>17</v>
      </c>
      <c r="B10">
        <v>84.49</v>
      </c>
      <c r="C10">
        <v>71.89</v>
      </c>
      <c r="D10">
        <v>80.760000000000005</v>
      </c>
      <c r="E10">
        <v>93.79</v>
      </c>
      <c r="F10">
        <v>95.52</v>
      </c>
      <c r="G10">
        <v>80.5</v>
      </c>
      <c r="H10">
        <v>95.94</v>
      </c>
      <c r="I10">
        <v>97.43</v>
      </c>
      <c r="J10" s="5">
        <f t="shared" si="1"/>
        <v>87.539999999999992</v>
      </c>
      <c r="K10">
        <f>J10-$J$9</f>
        <v>4.6237499999999869</v>
      </c>
    </row>
    <row r="11" spans="1:11" x14ac:dyDescent="0.4">
      <c r="A11" s="5" t="s">
        <v>22</v>
      </c>
      <c r="B11">
        <v>83.77</v>
      </c>
      <c r="C11">
        <v>72.33</v>
      </c>
      <c r="D11">
        <v>80.430000000000007</v>
      </c>
      <c r="E11">
        <v>93.54</v>
      </c>
      <c r="F11">
        <v>95.86</v>
      </c>
      <c r="G11">
        <v>80.52</v>
      </c>
      <c r="H11">
        <v>95.95</v>
      </c>
      <c r="I11">
        <v>97.36</v>
      </c>
      <c r="J11" s="5">
        <f t="shared" si="1"/>
        <v>87.47</v>
      </c>
      <c r="K11">
        <f>J11-$J$9</f>
        <v>4.5537499999999937</v>
      </c>
    </row>
    <row r="12" spans="1:11" x14ac:dyDescent="0.4">
      <c r="A12" s="5" t="s">
        <v>23</v>
      </c>
      <c r="B12">
        <v>84.65</v>
      </c>
      <c r="C12">
        <v>74.17</v>
      </c>
      <c r="D12">
        <v>83.02</v>
      </c>
      <c r="E12">
        <v>91.61</v>
      </c>
      <c r="F12">
        <v>95.36</v>
      </c>
      <c r="G12">
        <v>80.64</v>
      </c>
      <c r="H12">
        <v>96.12</v>
      </c>
      <c r="I12">
        <v>96.95</v>
      </c>
      <c r="J12" s="5">
        <f t="shared" si="1"/>
        <v>87.814999999999998</v>
      </c>
      <c r="K12">
        <f>J12-$J$9</f>
        <v>4.8987499999999926</v>
      </c>
    </row>
    <row r="13" spans="1:11" x14ac:dyDescent="0.4">
      <c r="A13" s="5" t="s">
        <v>24</v>
      </c>
      <c r="B13">
        <v>84.93</v>
      </c>
      <c r="C13">
        <v>75.180000000000007</v>
      </c>
      <c r="D13">
        <v>82.67</v>
      </c>
      <c r="E13">
        <v>91.72</v>
      </c>
      <c r="F13">
        <v>95.71</v>
      </c>
      <c r="G13">
        <v>79.739999999999995</v>
      </c>
      <c r="H13">
        <v>96.32</v>
      </c>
      <c r="I13">
        <v>97.16</v>
      </c>
      <c r="J13" s="5">
        <f t="shared" si="1"/>
        <v>87.928749999999994</v>
      </c>
      <c r="K13">
        <f>J13-$J$9</f>
        <v>5.0124999999999886</v>
      </c>
    </row>
    <row r="14" spans="1:11" ht="17.5" thickBot="1" x14ac:dyDescent="0.45">
      <c r="A14" s="8" t="s">
        <v>21</v>
      </c>
      <c r="B14">
        <v>85.02</v>
      </c>
      <c r="C14">
        <v>75.37</v>
      </c>
      <c r="D14">
        <v>82.09</v>
      </c>
      <c r="E14">
        <v>92.9</v>
      </c>
      <c r="F14">
        <v>96.16</v>
      </c>
      <c r="G14">
        <v>81.11</v>
      </c>
      <c r="H14">
        <v>96.13</v>
      </c>
      <c r="I14">
        <v>97.31</v>
      </c>
      <c r="J14" s="5">
        <f t="shared" si="1"/>
        <v>88.26124999999999</v>
      </c>
      <c r="K14">
        <f>J14-$J$9</f>
        <v>5.3449999999999847</v>
      </c>
    </row>
    <row r="15" spans="1:11" x14ac:dyDescent="0.4">
      <c r="A15" s="7" t="s">
        <v>18</v>
      </c>
      <c r="B15" s="1">
        <v>80.61</v>
      </c>
      <c r="C15" s="1">
        <v>69.61</v>
      </c>
      <c r="D15" s="1">
        <v>72.709999999999994</v>
      </c>
      <c r="E15" s="1">
        <v>91.62</v>
      </c>
      <c r="F15" s="1">
        <v>95.15</v>
      </c>
      <c r="G15" s="1">
        <v>80.17</v>
      </c>
      <c r="H15" s="1">
        <v>95.62</v>
      </c>
      <c r="I15" s="1">
        <v>96.73</v>
      </c>
      <c r="J15" s="7">
        <f t="shared" si="1"/>
        <v>85.277500000000003</v>
      </c>
    </row>
    <row r="16" spans="1:11" x14ac:dyDescent="0.4">
      <c r="A16" s="5" t="s">
        <v>19</v>
      </c>
      <c r="B16">
        <v>82.71</v>
      </c>
      <c r="C16">
        <v>69.16</v>
      </c>
      <c r="D16">
        <v>77.14</v>
      </c>
      <c r="E16">
        <v>93.29</v>
      </c>
      <c r="F16">
        <v>95.72</v>
      </c>
      <c r="G16">
        <v>80.03</v>
      </c>
      <c r="H16">
        <v>95.91</v>
      </c>
      <c r="I16">
        <v>96.92</v>
      </c>
      <c r="J16" s="5">
        <f t="shared" si="1"/>
        <v>86.359999999999985</v>
      </c>
      <c r="K16">
        <f>J16-$J$15</f>
        <v>1.0824999999999818</v>
      </c>
    </row>
    <row r="17" spans="1:11" x14ac:dyDescent="0.4">
      <c r="A17" s="5" t="s">
        <v>25</v>
      </c>
      <c r="B17">
        <v>82.52</v>
      </c>
      <c r="C17">
        <v>68.34</v>
      </c>
      <c r="D17">
        <v>76.959999999999994</v>
      </c>
      <c r="E17">
        <v>93</v>
      </c>
      <c r="F17">
        <v>95.5</v>
      </c>
      <c r="G17">
        <v>80.53</v>
      </c>
      <c r="H17">
        <v>95.8</v>
      </c>
      <c r="I17">
        <v>96.85</v>
      </c>
      <c r="J17" s="5">
        <f t="shared" si="1"/>
        <v>86.1875</v>
      </c>
      <c r="K17">
        <f>J17-$J$15</f>
        <v>0.90999999999999659</v>
      </c>
    </row>
    <row r="18" spans="1:11" x14ac:dyDescent="0.4">
      <c r="A18" s="5" t="s">
        <v>26</v>
      </c>
      <c r="B18">
        <v>80.959999999999994</v>
      </c>
      <c r="C18">
        <v>70.39</v>
      </c>
      <c r="D18">
        <v>77.59</v>
      </c>
      <c r="E18">
        <v>91.37</v>
      </c>
      <c r="F18">
        <v>95.1</v>
      </c>
      <c r="G18">
        <v>80.180000000000007</v>
      </c>
      <c r="H18">
        <v>93.75</v>
      </c>
      <c r="I18">
        <v>97.14</v>
      </c>
      <c r="J18" s="5">
        <f t="shared" si="1"/>
        <v>85.809999999999988</v>
      </c>
      <c r="K18">
        <f>J18-$J$15</f>
        <v>0.53249999999998465</v>
      </c>
    </row>
    <row r="19" spans="1:11" x14ac:dyDescent="0.4">
      <c r="A19" s="5" t="s">
        <v>27</v>
      </c>
      <c r="B19">
        <v>81.27</v>
      </c>
      <c r="C19">
        <v>72.64</v>
      </c>
      <c r="D19">
        <v>78.37</v>
      </c>
      <c r="E19">
        <v>87.07</v>
      </c>
      <c r="F19">
        <v>94.27</v>
      </c>
      <c r="G19">
        <v>80.52</v>
      </c>
      <c r="H19">
        <v>96.46</v>
      </c>
      <c r="I19">
        <v>96.99</v>
      </c>
      <c r="J19" s="5">
        <f t="shared" si="1"/>
        <v>85.948750000000004</v>
      </c>
      <c r="K19">
        <f>J19-$J$15</f>
        <v>0.67125000000000057</v>
      </c>
    </row>
    <row r="20" spans="1:11" ht="17.5" thickBot="1" x14ac:dyDescent="0.45">
      <c r="A20" s="8" t="s">
        <v>20</v>
      </c>
      <c r="B20" s="2">
        <v>83.16</v>
      </c>
      <c r="C20" s="2">
        <v>72.78</v>
      </c>
      <c r="D20" s="2">
        <v>78.59</v>
      </c>
      <c r="E20" s="2">
        <v>90.89</v>
      </c>
      <c r="F20" s="2">
        <v>94.92</v>
      </c>
      <c r="G20" s="2">
        <v>79.599999999999994</v>
      </c>
      <c r="H20" s="2">
        <v>96.44</v>
      </c>
      <c r="I20" s="2">
        <v>96.56</v>
      </c>
      <c r="J20" s="6">
        <f t="shared" si="1"/>
        <v>86.617500000000007</v>
      </c>
      <c r="K20">
        <f>J20-$J$15</f>
        <v>1.3400000000000034</v>
      </c>
    </row>
  </sheetData>
  <phoneticPr fontId="1" type="noConversion"/>
  <conditionalFormatting sqref="B1:B2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2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2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20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20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2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20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2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2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李旻昊 LI MAN HO</dc:creator>
  <cp:lastModifiedBy>李旻昊 LI MAN HO</cp:lastModifiedBy>
  <dcterms:created xsi:type="dcterms:W3CDTF">2025-05-21T14:04:20Z</dcterms:created>
  <dcterms:modified xsi:type="dcterms:W3CDTF">2025-06-18T13:02:44Z</dcterms:modified>
</cp:coreProperties>
</file>